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nalysis" sheetId="1" state="visible" r:id="rId1"/>
    <sheet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#,##0.00;(#,##0.00)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u val="single"/>
    </font>
    <font>
      <sz val="9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" fontId="5" fillId="0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166" fontId="5" fillId="0" borderId="2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55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60" customWidth="1" min="19" max="19"/>
  </cols>
  <sheetData>
    <row r="2">
      <c r="B2" s="1" t="inlineStr">
        <is>
          <t>Star River Case - Part 1</t>
        </is>
      </c>
    </row>
    <row r="3">
      <c r="B3" s="2" t="inlineStr">
        <is>
          <t>Analysis of the Packaging-Machine Investment</t>
        </is>
      </c>
    </row>
    <row r="6">
      <c r="D6" s="3" t="n">
        <v>2001</v>
      </c>
      <c r="E6" s="3" t="n">
        <v>2002</v>
      </c>
      <c r="F6" s="3" t="n">
        <v>2003</v>
      </c>
      <c r="G6" s="3" t="n">
        <v>2004</v>
      </c>
      <c r="H6" s="3" t="n">
        <v>2005</v>
      </c>
      <c r="I6" s="3" t="n">
        <v>2006</v>
      </c>
      <c r="J6" s="3" t="n">
        <v>2007</v>
      </c>
      <c r="K6" s="3" t="n">
        <v>2008</v>
      </c>
      <c r="L6" s="3" t="n">
        <v>2009</v>
      </c>
      <c r="M6" s="3" t="n">
        <v>2010</v>
      </c>
      <c r="N6" s="3" t="n">
        <v>2011</v>
      </c>
      <c r="O6" s="3" t="n">
        <v>2012</v>
      </c>
      <c r="P6" s="3" t="n">
        <v>2013</v>
      </c>
      <c r="Q6" s="3" t="n">
        <v>2014</v>
      </c>
      <c r="S6" s="4" t="inlineStr">
        <is>
          <t>Horizon ends 2014 (year 13): from year 14 on, both scenarios carry identical maintenance, labor and zero depreciation, so the difference between them is exactly zero.</t>
        </is>
      </c>
    </row>
    <row r="8">
      <c r="B8" t="inlineStr">
        <is>
          <t>Inflation Rate =</t>
        </is>
      </c>
      <c r="C8" s="5">
        <f>Inputs!$C$7</f>
        <v/>
      </c>
    </row>
    <row r="9">
      <c r="B9" s="2" t="inlineStr">
        <is>
          <t>Years from Now</t>
        </is>
      </c>
      <c r="D9" s="3" t="n">
        <v>0</v>
      </c>
      <c r="E9" s="3" t="n">
        <v>1</v>
      </c>
      <c r="F9" s="3" t="n">
        <v>2</v>
      </c>
      <c r="G9" s="3" t="n">
        <v>3</v>
      </c>
      <c r="H9" s="3" t="n">
        <v>4</v>
      </c>
      <c r="I9" s="3" t="n">
        <v>5</v>
      </c>
      <c r="J9" s="3" t="n">
        <v>6</v>
      </c>
      <c r="K9" s="3" t="n">
        <v>7</v>
      </c>
      <c r="L9" s="3" t="n">
        <v>8</v>
      </c>
      <c r="M9" s="3" t="n">
        <v>9</v>
      </c>
      <c r="N9" s="3" t="n">
        <v>10</v>
      </c>
      <c r="O9" s="3" t="n">
        <v>11</v>
      </c>
      <c r="P9" s="3" t="n">
        <v>12</v>
      </c>
      <c r="Q9" s="3" t="n">
        <v>13</v>
      </c>
    </row>
    <row r="11">
      <c r="B11" s="2" t="inlineStr">
        <is>
          <t>If Star River Waits Three Years to Purchase the Machine</t>
        </is>
      </c>
    </row>
    <row r="12">
      <c r="B12" s="2" t="inlineStr">
        <is>
          <t>Initial Investment</t>
        </is>
      </c>
    </row>
    <row r="13">
      <c r="C13" t="inlineStr">
        <is>
          <t>Purchase of New Machine</t>
        </is>
      </c>
      <c r="D13" s="6">
        <f>IF(D$9=Inputs!$C$23,-Inputs!$C$14,0)</f>
        <v/>
      </c>
      <c r="E13" s="6">
        <f>IF(E$9=Inputs!$C$23,-Inputs!$C$14,0)</f>
        <v/>
      </c>
      <c r="F13" s="6">
        <f>IF(F$9=Inputs!$C$23,-Inputs!$C$14,0)</f>
        <v/>
      </c>
      <c r="G13" s="6">
        <f>IF(G$9=Inputs!$C$23,-Inputs!$C$14,0)</f>
        <v/>
      </c>
      <c r="H13" s="6">
        <f>IF(H$9=Inputs!$C$23,-Inputs!$C$14,0)</f>
        <v/>
      </c>
      <c r="I13" s="6">
        <f>IF(I$9=Inputs!$C$23,-Inputs!$C$14,0)</f>
        <v/>
      </c>
      <c r="J13" s="6">
        <f>IF(J$9=Inputs!$C$23,-Inputs!$C$14,0)</f>
        <v/>
      </c>
      <c r="K13" s="6">
        <f>IF(K$9=Inputs!$C$23,-Inputs!$C$14,0)</f>
        <v/>
      </c>
      <c r="L13" s="6">
        <f>IF(L$9=Inputs!$C$23,-Inputs!$C$14,0)</f>
        <v/>
      </c>
      <c r="M13" s="6">
        <f>IF(M$9=Inputs!$C$23,-Inputs!$C$14,0)</f>
        <v/>
      </c>
      <c r="N13" s="6">
        <f>IF(N$9=Inputs!$C$23,-Inputs!$C$14,0)</f>
        <v/>
      </c>
      <c r="O13" s="6">
        <f>IF(O$9=Inputs!$C$23,-Inputs!$C$14,0)</f>
        <v/>
      </c>
      <c r="P13" s="6">
        <f>IF(P$9=Inputs!$C$23,-Inputs!$C$14,0)</f>
        <v/>
      </c>
      <c r="Q13" s="6">
        <f>IF(Q$9=Inputs!$C$23,-Inputs!$C$14,0)</f>
        <v/>
      </c>
    </row>
    <row r="15">
      <c r="B15" s="2" t="inlineStr">
        <is>
          <t>Incremental Operating Cash Flow</t>
        </is>
      </c>
    </row>
    <row r="16">
      <c r="C16" t="inlineStr">
        <is>
          <t>Maintenance</t>
        </is>
      </c>
      <c r="D16" s="6">
        <f>IF(D$9=0,0,IF(D$9&lt;=Inputs!$C$23,Inputs!$C$24*(1+Inputs!$C$7)^(D$9-1),Inputs!$C$16*(1+Inputs!$C$8)^(D$9-1)))</f>
        <v/>
      </c>
      <c r="E16" s="6">
        <f>IF(E$9=0,0,IF(E$9&lt;=Inputs!$C$23,Inputs!$C$24*(1+Inputs!$C$7)^(E$9-1),Inputs!$C$16*(1+Inputs!$C$8)^(E$9-1)))</f>
        <v/>
      </c>
      <c r="F16" s="6">
        <f>IF(F$9=0,0,IF(F$9&lt;=Inputs!$C$23,Inputs!$C$24*(1+Inputs!$C$7)^(F$9-1),Inputs!$C$16*(1+Inputs!$C$8)^(F$9-1)))</f>
        <v/>
      </c>
      <c r="G16" s="6">
        <f>IF(G$9=0,0,IF(G$9&lt;=Inputs!$C$23,Inputs!$C$24*(1+Inputs!$C$7)^(G$9-1),Inputs!$C$16*(1+Inputs!$C$8)^(G$9-1)))</f>
        <v/>
      </c>
      <c r="H16" s="6">
        <f>IF(H$9=0,0,IF(H$9&lt;=Inputs!$C$23,Inputs!$C$24*(1+Inputs!$C$7)^(H$9-1),Inputs!$C$16*(1+Inputs!$C$8)^(H$9-1)))</f>
        <v/>
      </c>
      <c r="I16" s="6">
        <f>IF(I$9=0,0,IF(I$9&lt;=Inputs!$C$23,Inputs!$C$24*(1+Inputs!$C$7)^(I$9-1),Inputs!$C$16*(1+Inputs!$C$8)^(I$9-1)))</f>
        <v/>
      </c>
      <c r="J16" s="6">
        <f>IF(J$9=0,0,IF(J$9&lt;=Inputs!$C$23,Inputs!$C$24*(1+Inputs!$C$7)^(J$9-1),Inputs!$C$16*(1+Inputs!$C$8)^(J$9-1)))</f>
        <v/>
      </c>
      <c r="K16" s="6">
        <f>IF(K$9=0,0,IF(K$9&lt;=Inputs!$C$23,Inputs!$C$24*(1+Inputs!$C$7)^(K$9-1),Inputs!$C$16*(1+Inputs!$C$8)^(K$9-1)))</f>
        <v/>
      </c>
      <c r="L16" s="6">
        <f>IF(L$9=0,0,IF(L$9&lt;=Inputs!$C$23,Inputs!$C$24*(1+Inputs!$C$7)^(L$9-1),Inputs!$C$16*(1+Inputs!$C$8)^(L$9-1)))</f>
        <v/>
      </c>
      <c r="M16" s="6">
        <f>IF(M$9=0,0,IF(M$9&lt;=Inputs!$C$23,Inputs!$C$24*(1+Inputs!$C$7)^(M$9-1),Inputs!$C$16*(1+Inputs!$C$8)^(M$9-1)))</f>
        <v/>
      </c>
      <c r="N16" s="6">
        <f>IF(N$9=0,0,IF(N$9&lt;=Inputs!$C$23,Inputs!$C$24*(1+Inputs!$C$7)^(N$9-1),Inputs!$C$16*(1+Inputs!$C$8)^(N$9-1)))</f>
        <v/>
      </c>
      <c r="O16" s="6">
        <f>IF(O$9=0,0,IF(O$9&lt;=Inputs!$C$23,Inputs!$C$24*(1+Inputs!$C$7)^(O$9-1),Inputs!$C$16*(1+Inputs!$C$8)^(O$9-1)))</f>
        <v/>
      </c>
      <c r="P16" s="6">
        <f>IF(P$9=0,0,IF(P$9&lt;=Inputs!$C$23,Inputs!$C$24*(1+Inputs!$C$7)^(P$9-1),Inputs!$C$16*(1+Inputs!$C$8)^(P$9-1)))</f>
        <v/>
      </c>
      <c r="Q16" s="6">
        <f>IF(Q$9=0,0,IF(Q$9&lt;=Inputs!$C$23,Inputs!$C$24*(1+Inputs!$C$7)^(Q$9-1),Inputs!$C$16*(1+Inputs!$C$8)^(Q$9-1)))</f>
        <v/>
      </c>
    </row>
    <row r="17">
      <c r="C17" t="inlineStr">
        <is>
          <t xml:space="preserve">Labor </t>
        </is>
      </c>
      <c r="D17" s="6">
        <f>IF(D$9=0,0,Inputs!$C$25*(1+Inputs!$C$7)^(D$9-1))</f>
        <v/>
      </c>
      <c r="E17" s="6">
        <f>IF(E$9=0,0,Inputs!$C$25*(1+Inputs!$C$7)^(E$9-1))</f>
        <v/>
      </c>
      <c r="F17" s="6">
        <f>IF(F$9=0,0,Inputs!$C$25*(1+Inputs!$C$7)^(F$9-1))</f>
        <v/>
      </c>
      <c r="G17" s="6">
        <f>IF(G$9=0,0,Inputs!$C$25*(1+Inputs!$C$7)^(G$9-1))</f>
        <v/>
      </c>
      <c r="H17" s="6">
        <f>IF(H$9=0,0,Inputs!$C$25*(1+Inputs!$C$7)^(H$9-1))</f>
        <v/>
      </c>
      <c r="I17" s="6">
        <f>IF(I$9=0,0,Inputs!$C$25*(1+Inputs!$C$7)^(I$9-1))</f>
        <v/>
      </c>
      <c r="J17" s="6">
        <f>IF(J$9=0,0,Inputs!$C$25*(1+Inputs!$C$7)^(J$9-1))</f>
        <v/>
      </c>
      <c r="K17" s="6">
        <f>IF(K$9=0,0,Inputs!$C$25*(1+Inputs!$C$7)^(K$9-1))</f>
        <v/>
      </c>
      <c r="L17" s="6">
        <f>IF(L$9=0,0,Inputs!$C$25*(1+Inputs!$C$7)^(L$9-1))</f>
        <v/>
      </c>
      <c r="M17" s="6">
        <f>IF(M$9=0,0,Inputs!$C$25*(1+Inputs!$C$7)^(M$9-1))</f>
        <v/>
      </c>
      <c r="N17" s="6">
        <f>IF(N$9=0,0,Inputs!$C$25*(1+Inputs!$C$7)^(N$9-1))</f>
        <v/>
      </c>
      <c r="O17" s="6">
        <f>IF(O$9=0,0,Inputs!$C$25*(1+Inputs!$C$7)^(O$9-1))</f>
        <v/>
      </c>
      <c r="P17" s="6">
        <f>IF(P$9=0,0,Inputs!$C$25*(1+Inputs!$C$7)^(P$9-1))</f>
        <v/>
      </c>
      <c r="Q17" s="6">
        <f>IF(Q$9=0,0,Inputs!$C$25*(1+Inputs!$C$7)^(Q$9-1))</f>
        <v/>
      </c>
    </row>
    <row r="18">
      <c r="C18" t="inlineStr">
        <is>
          <t>Overtime</t>
        </is>
      </c>
      <c r="D18" s="6">
        <f>IF(D$9=0,0,IF(D$9&lt;=Inputs!$C$23,Inputs!$C$27*(1+Inputs!$C$7)^(D$9-1),0))</f>
        <v/>
      </c>
      <c r="E18" s="6">
        <f>IF(E$9=0,0,IF(E$9&lt;=Inputs!$C$23,Inputs!$C$27*(1+Inputs!$C$7)^(E$9-1),0))</f>
        <v/>
      </c>
      <c r="F18" s="6">
        <f>IF(F$9=0,0,IF(F$9&lt;=Inputs!$C$23,Inputs!$C$27*(1+Inputs!$C$7)^(F$9-1),0))</f>
        <v/>
      </c>
      <c r="G18" s="6">
        <f>IF(G$9=0,0,IF(G$9&lt;=Inputs!$C$23,Inputs!$C$27*(1+Inputs!$C$7)^(G$9-1),0))</f>
        <v/>
      </c>
      <c r="H18" s="6">
        <f>IF(H$9=0,0,IF(H$9&lt;=Inputs!$C$23,Inputs!$C$27*(1+Inputs!$C$7)^(H$9-1),0))</f>
        <v/>
      </c>
      <c r="I18" s="6">
        <f>IF(I$9=0,0,IF(I$9&lt;=Inputs!$C$23,Inputs!$C$27*(1+Inputs!$C$7)^(I$9-1),0))</f>
        <v/>
      </c>
      <c r="J18" s="6">
        <f>IF(J$9=0,0,IF(J$9&lt;=Inputs!$C$23,Inputs!$C$27*(1+Inputs!$C$7)^(J$9-1),0))</f>
        <v/>
      </c>
      <c r="K18" s="6">
        <f>IF(K$9=0,0,IF(K$9&lt;=Inputs!$C$23,Inputs!$C$27*(1+Inputs!$C$7)^(K$9-1),0))</f>
        <v/>
      </c>
      <c r="L18" s="6">
        <f>IF(L$9=0,0,IF(L$9&lt;=Inputs!$C$23,Inputs!$C$27*(1+Inputs!$C$7)^(L$9-1),0))</f>
        <v/>
      </c>
      <c r="M18" s="6">
        <f>IF(M$9=0,0,IF(M$9&lt;=Inputs!$C$23,Inputs!$C$27*(1+Inputs!$C$7)^(M$9-1),0))</f>
        <v/>
      </c>
      <c r="N18" s="6">
        <f>IF(N$9=0,0,IF(N$9&lt;=Inputs!$C$23,Inputs!$C$27*(1+Inputs!$C$7)^(N$9-1),0))</f>
        <v/>
      </c>
      <c r="O18" s="6">
        <f>IF(O$9=0,0,IF(O$9&lt;=Inputs!$C$23,Inputs!$C$27*(1+Inputs!$C$7)^(O$9-1),0))</f>
        <v/>
      </c>
      <c r="P18" s="6">
        <f>IF(P$9=0,0,IF(P$9&lt;=Inputs!$C$23,Inputs!$C$27*(1+Inputs!$C$7)^(P$9-1),0))</f>
        <v/>
      </c>
      <c r="Q18" s="6">
        <f>IF(Q$9=0,0,IF(Q$9&lt;=Inputs!$C$23,Inputs!$C$27*(1+Inputs!$C$7)^(Q$9-1),0))</f>
        <v/>
      </c>
    </row>
    <row r="19">
      <c r="C19" t="inlineStr">
        <is>
          <t>Depreciation</t>
        </is>
      </c>
      <c r="D19" s="6">
        <f>IF(D$9=0,0,IF(D$9&lt;=Inputs!$C$23,Inputs!$C$21,IF(D$9&lt;=Inputs!$C$23+Inputs!$C$12,Inputs!$C$15,0)))</f>
        <v/>
      </c>
      <c r="E19" s="6">
        <f>IF(E$9=0,0,IF(E$9&lt;=Inputs!$C$23,Inputs!$C$21,IF(E$9&lt;=Inputs!$C$23+Inputs!$C$12,Inputs!$C$15,0)))</f>
        <v/>
      </c>
      <c r="F19" s="6">
        <f>IF(F$9=0,0,IF(F$9&lt;=Inputs!$C$23,Inputs!$C$21,IF(F$9&lt;=Inputs!$C$23+Inputs!$C$12,Inputs!$C$15,0)))</f>
        <v/>
      </c>
      <c r="G19" s="6">
        <f>IF(G$9=0,0,IF(G$9&lt;=Inputs!$C$23,Inputs!$C$21,IF(G$9&lt;=Inputs!$C$23+Inputs!$C$12,Inputs!$C$15,0)))</f>
        <v/>
      </c>
      <c r="H19" s="6">
        <f>IF(H$9=0,0,IF(H$9&lt;=Inputs!$C$23,Inputs!$C$21,IF(H$9&lt;=Inputs!$C$23+Inputs!$C$12,Inputs!$C$15,0)))</f>
        <v/>
      </c>
      <c r="I19" s="6">
        <f>IF(I$9=0,0,IF(I$9&lt;=Inputs!$C$23,Inputs!$C$21,IF(I$9&lt;=Inputs!$C$23+Inputs!$C$12,Inputs!$C$15,0)))</f>
        <v/>
      </c>
      <c r="J19" s="6">
        <f>IF(J$9=0,0,IF(J$9&lt;=Inputs!$C$23,Inputs!$C$21,IF(J$9&lt;=Inputs!$C$23+Inputs!$C$12,Inputs!$C$15,0)))</f>
        <v/>
      </c>
      <c r="K19" s="6">
        <f>IF(K$9=0,0,IF(K$9&lt;=Inputs!$C$23,Inputs!$C$21,IF(K$9&lt;=Inputs!$C$23+Inputs!$C$12,Inputs!$C$15,0)))</f>
        <v/>
      </c>
      <c r="L19" s="6">
        <f>IF(L$9=0,0,IF(L$9&lt;=Inputs!$C$23,Inputs!$C$21,IF(L$9&lt;=Inputs!$C$23+Inputs!$C$12,Inputs!$C$15,0)))</f>
        <v/>
      </c>
      <c r="M19" s="6">
        <f>IF(M$9=0,0,IF(M$9&lt;=Inputs!$C$23,Inputs!$C$21,IF(M$9&lt;=Inputs!$C$23+Inputs!$C$12,Inputs!$C$15,0)))</f>
        <v/>
      </c>
      <c r="N19" s="6">
        <f>IF(N$9=0,0,IF(N$9&lt;=Inputs!$C$23,Inputs!$C$21,IF(N$9&lt;=Inputs!$C$23+Inputs!$C$12,Inputs!$C$15,0)))</f>
        <v/>
      </c>
      <c r="O19" s="6">
        <f>IF(O$9=0,0,IF(O$9&lt;=Inputs!$C$23,Inputs!$C$21,IF(O$9&lt;=Inputs!$C$23+Inputs!$C$12,Inputs!$C$15,0)))</f>
        <v/>
      </c>
      <c r="P19" s="6">
        <f>IF(P$9=0,0,IF(P$9&lt;=Inputs!$C$23,Inputs!$C$21,IF(P$9&lt;=Inputs!$C$23+Inputs!$C$12,Inputs!$C$15,0)))</f>
        <v/>
      </c>
      <c r="Q19" s="6">
        <f>IF(Q$9=0,0,IF(Q$9&lt;=Inputs!$C$23,Inputs!$C$21,IF(Q$9&lt;=Inputs!$C$23+Inputs!$C$12,Inputs!$C$15,0)))</f>
        <v/>
      </c>
    </row>
    <row r="20">
      <c r="C20" s="2" t="inlineStr">
        <is>
          <t>Total Cost</t>
        </is>
      </c>
      <c r="D20" s="7">
        <f>SUM(D16:D19)</f>
        <v/>
      </c>
      <c r="E20" s="7">
        <f>SUM(E16:E19)</f>
        <v/>
      </c>
      <c r="F20" s="7">
        <f>SUM(F16:F19)</f>
        <v/>
      </c>
      <c r="G20" s="7">
        <f>SUM(G16:G19)</f>
        <v/>
      </c>
      <c r="H20" s="7">
        <f>SUM(H16:H19)</f>
        <v/>
      </c>
      <c r="I20" s="7">
        <f>SUM(I16:I19)</f>
        <v/>
      </c>
      <c r="J20" s="7">
        <f>SUM(J16:J19)</f>
        <v/>
      </c>
      <c r="K20" s="7">
        <f>SUM(K16:K19)</f>
        <v/>
      </c>
      <c r="L20" s="7">
        <f>SUM(L16:L19)</f>
        <v/>
      </c>
      <c r="M20" s="7">
        <f>SUM(M16:M19)</f>
        <v/>
      </c>
      <c r="N20" s="7">
        <f>SUM(N16:N19)</f>
        <v/>
      </c>
      <c r="O20" s="7">
        <f>SUM(O16:O19)</f>
        <v/>
      </c>
      <c r="P20" s="7">
        <f>SUM(P16:P19)</f>
        <v/>
      </c>
      <c r="Q20" s="7">
        <f>SUM(Q16:Q19)</f>
        <v/>
      </c>
    </row>
    <row r="21">
      <c r="C21" t="inlineStr">
        <is>
          <t>Tax @ .245</t>
        </is>
      </c>
      <c r="D21" s="6">
        <f>D20*Inputs!$C$5</f>
        <v/>
      </c>
      <c r="E21" s="6">
        <f>E20*Inputs!$C$5</f>
        <v/>
      </c>
      <c r="F21" s="6">
        <f>F20*Inputs!$C$5</f>
        <v/>
      </c>
      <c r="G21" s="6">
        <f>G20*Inputs!$C$5</f>
        <v/>
      </c>
      <c r="H21" s="6">
        <f>H20*Inputs!$C$5</f>
        <v/>
      </c>
      <c r="I21" s="6">
        <f>I20*Inputs!$C$5</f>
        <v/>
      </c>
      <c r="J21" s="6">
        <f>J20*Inputs!$C$5</f>
        <v/>
      </c>
      <c r="K21" s="6">
        <f>K20*Inputs!$C$5</f>
        <v/>
      </c>
      <c r="L21" s="6">
        <f>L20*Inputs!$C$5</f>
        <v/>
      </c>
      <c r="M21" s="6">
        <f>M20*Inputs!$C$5</f>
        <v/>
      </c>
      <c r="N21" s="6">
        <f>N20*Inputs!$C$5</f>
        <v/>
      </c>
      <c r="O21" s="6">
        <f>O20*Inputs!$C$5</f>
        <v/>
      </c>
      <c r="P21" s="6">
        <f>P20*Inputs!$C$5</f>
        <v/>
      </c>
      <c r="Q21" s="6">
        <f>Q20*Inputs!$C$5</f>
        <v/>
      </c>
    </row>
    <row r="22">
      <c r="C22" t="inlineStr">
        <is>
          <t>After-tax Cost</t>
        </is>
      </c>
      <c r="D22" s="6">
        <f>D20-D21</f>
        <v/>
      </c>
      <c r="E22" s="6">
        <f>E20-E21</f>
        <v/>
      </c>
      <c r="F22" s="6">
        <f>F20-F21</f>
        <v/>
      </c>
      <c r="G22" s="6">
        <f>G20-G21</f>
        <v/>
      </c>
      <c r="H22" s="6">
        <f>H20-H21</f>
        <v/>
      </c>
      <c r="I22" s="6">
        <f>I20-I21</f>
        <v/>
      </c>
      <c r="J22" s="6">
        <f>J20-J21</f>
        <v/>
      </c>
      <c r="K22" s="6">
        <f>K20-K21</f>
        <v/>
      </c>
      <c r="L22" s="6">
        <f>L20-L21</f>
        <v/>
      </c>
      <c r="M22" s="6">
        <f>M20-M21</f>
        <v/>
      </c>
      <c r="N22" s="6">
        <f>N20-N21</f>
        <v/>
      </c>
      <c r="O22" s="6">
        <f>O20-O21</f>
        <v/>
      </c>
      <c r="P22" s="6">
        <f>P20-P21</f>
        <v/>
      </c>
      <c r="Q22" s="6">
        <f>Q20-Q21</f>
        <v/>
      </c>
    </row>
    <row r="23">
      <c r="C23" t="inlineStr">
        <is>
          <t>+ Depreciation</t>
        </is>
      </c>
      <c r="D23" s="6">
        <f>D19</f>
        <v/>
      </c>
      <c r="E23" s="6">
        <f>E19</f>
        <v/>
      </c>
      <c r="F23" s="6">
        <f>F19</f>
        <v/>
      </c>
      <c r="G23" s="6">
        <f>G19</f>
        <v/>
      </c>
      <c r="H23" s="6">
        <f>H19</f>
        <v/>
      </c>
      <c r="I23" s="6">
        <f>I19</f>
        <v/>
      </c>
      <c r="J23" s="6">
        <f>J19</f>
        <v/>
      </c>
      <c r="K23" s="6">
        <f>K19</f>
        <v/>
      </c>
      <c r="L23" s="6">
        <f>L19</f>
        <v/>
      </c>
      <c r="M23" s="6">
        <f>M19</f>
        <v/>
      </c>
      <c r="N23" s="6">
        <f>N19</f>
        <v/>
      </c>
      <c r="O23" s="6">
        <f>O19</f>
        <v/>
      </c>
      <c r="P23" s="6">
        <f>P19</f>
        <v/>
      </c>
      <c r="Q23" s="6">
        <f>Q19</f>
        <v/>
      </c>
    </row>
    <row r="25">
      <c r="B25" s="2" t="inlineStr">
        <is>
          <t>Terminal Cashflow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inlineStr">
        <is>
          <t>0</t>
        </is>
      </c>
      <c r="Q25" s="6" t="inlineStr">
        <is>
          <t>0</t>
        </is>
      </c>
      <c r="S25" s="4" t="inlineStr">
        <is>
          <t>No terminal value: Exhibit 4 states the new packager 'will operate indefinitely' and is 'the last packaging equipment we will ever have to purchase'.</t>
        </is>
      </c>
    </row>
    <row r="27">
      <c r="C27" s="2" t="inlineStr">
        <is>
          <t>Free Cash Flow</t>
        </is>
      </c>
      <c r="D27" s="7">
        <f>D13-D22+D23+D25</f>
        <v/>
      </c>
      <c r="E27" s="7">
        <f>E13-E22+E23+E25</f>
        <v/>
      </c>
      <c r="F27" s="7">
        <f>F13-F22+F23+F25</f>
        <v/>
      </c>
      <c r="G27" s="7">
        <f>G13-G22+G23+G25</f>
        <v/>
      </c>
      <c r="H27" s="7">
        <f>H13-H22+H23+H25</f>
        <v/>
      </c>
      <c r="I27" s="7">
        <f>I13-I22+I23+I25</f>
        <v/>
      </c>
      <c r="J27" s="7">
        <f>J13-J22+J23+J25</f>
        <v/>
      </c>
      <c r="K27" s="7">
        <f>K13-K22+K23+K25</f>
        <v/>
      </c>
      <c r="L27" s="7">
        <f>L13-L22+L23+L25</f>
        <v/>
      </c>
      <c r="M27" s="7">
        <f>M13-M22+M23+M25</f>
        <v/>
      </c>
      <c r="N27" s="7">
        <f>N13-N22+N23+N25</f>
        <v/>
      </c>
      <c r="O27" s="7">
        <f>O13-O22+O23+O25</f>
        <v/>
      </c>
      <c r="P27" s="7">
        <f>P13-P22+P23+P25</f>
        <v/>
      </c>
      <c r="Q27" s="7">
        <f>Q13-Q22+Q23+Q25</f>
        <v/>
      </c>
    </row>
    <row r="29">
      <c r="C29" s="2" t="inlineStr">
        <is>
          <t xml:space="preserve"> NPV@11.0% = </t>
        </is>
      </c>
      <c r="D29" s="8">
        <f>NPV(Inputs!$C$6,E27:Q27)+D27</f>
        <v/>
      </c>
    </row>
    <row r="31">
      <c r="B31" s="2" t="inlineStr">
        <is>
          <t>If Star River Purchases the New Machine Now</t>
        </is>
      </c>
    </row>
    <row r="32">
      <c r="B32" s="2" t="inlineStr">
        <is>
          <t>Initial Investment</t>
        </is>
      </c>
    </row>
    <row r="33">
      <c r="C33" t="inlineStr">
        <is>
          <t>Purchase of New Machine</t>
        </is>
      </c>
      <c r="D33" s="6">
        <f>IF(D$9=0,-Inputs!$C$11,0)</f>
        <v/>
      </c>
      <c r="E33" s="6">
        <f>IF(E$9=0,-Inputs!$C$11,0)</f>
        <v/>
      </c>
      <c r="F33" s="6">
        <f>IF(F$9=0,-Inputs!$C$11,0)</f>
        <v/>
      </c>
      <c r="G33" s="6">
        <f>IF(G$9=0,-Inputs!$C$11,0)</f>
        <v/>
      </c>
      <c r="H33" s="6">
        <f>IF(H$9=0,-Inputs!$C$11,0)</f>
        <v/>
      </c>
      <c r="I33" s="6">
        <f>IF(I$9=0,-Inputs!$C$11,0)</f>
        <v/>
      </c>
      <c r="J33" s="6">
        <f>IF(J$9=0,-Inputs!$C$11,0)</f>
        <v/>
      </c>
      <c r="K33" s="6">
        <f>IF(K$9=0,-Inputs!$C$11,0)</f>
        <v/>
      </c>
      <c r="L33" s="6">
        <f>IF(L$9=0,-Inputs!$C$11,0)</f>
        <v/>
      </c>
      <c r="M33" s="6">
        <f>IF(M$9=0,-Inputs!$C$11,0)</f>
        <v/>
      </c>
      <c r="N33" s="6">
        <f>IF(N$9=0,-Inputs!$C$11,0)</f>
        <v/>
      </c>
      <c r="O33" s="6">
        <f>IF(O$9=0,-Inputs!$C$11,0)</f>
        <v/>
      </c>
      <c r="P33" s="6">
        <f>IF(P$9=0,-Inputs!$C$11,0)</f>
        <v/>
      </c>
      <c r="Q33" s="6">
        <f>IF(Q$9=0,-Inputs!$C$11,0)</f>
        <v/>
      </c>
    </row>
    <row r="34">
      <c r="C34" t="inlineStr">
        <is>
          <t>Tax Benefit of Sale</t>
        </is>
      </c>
      <c r="D34" s="6">
        <f>IF(D$9=0,(Inputs!$C$19-Inputs!$C$22)*Inputs!$C$5,0)</f>
        <v/>
      </c>
      <c r="E34" s="6">
        <f>IF(E$9=0,(Inputs!$C$19-Inputs!$C$22)*Inputs!$C$5,0)</f>
        <v/>
      </c>
      <c r="F34" s="6">
        <f>IF(F$9=0,(Inputs!$C$19-Inputs!$C$22)*Inputs!$C$5,0)</f>
        <v/>
      </c>
      <c r="G34" s="6">
        <f>IF(G$9=0,(Inputs!$C$19-Inputs!$C$22)*Inputs!$C$5,0)</f>
        <v/>
      </c>
      <c r="H34" s="6">
        <f>IF(H$9=0,(Inputs!$C$19-Inputs!$C$22)*Inputs!$C$5,0)</f>
        <v/>
      </c>
      <c r="I34" s="6">
        <f>IF(I$9=0,(Inputs!$C$19-Inputs!$C$22)*Inputs!$C$5,0)</f>
        <v/>
      </c>
      <c r="J34" s="6">
        <f>IF(J$9=0,(Inputs!$C$19-Inputs!$C$22)*Inputs!$C$5,0)</f>
        <v/>
      </c>
      <c r="K34" s="6">
        <f>IF(K$9=0,(Inputs!$C$19-Inputs!$C$22)*Inputs!$C$5,0)</f>
        <v/>
      </c>
      <c r="L34" s="6">
        <f>IF(L$9=0,(Inputs!$C$19-Inputs!$C$22)*Inputs!$C$5,0)</f>
        <v/>
      </c>
      <c r="M34" s="6">
        <f>IF(M$9=0,(Inputs!$C$19-Inputs!$C$22)*Inputs!$C$5,0)</f>
        <v/>
      </c>
      <c r="N34" s="6">
        <f>IF(N$9=0,(Inputs!$C$19-Inputs!$C$22)*Inputs!$C$5,0)</f>
        <v/>
      </c>
      <c r="O34" s="6">
        <f>IF(O$9=0,(Inputs!$C$19-Inputs!$C$22)*Inputs!$C$5,0)</f>
        <v/>
      </c>
      <c r="P34" s="6">
        <f>IF(P$9=0,(Inputs!$C$19-Inputs!$C$22)*Inputs!$C$5,0)</f>
        <v/>
      </c>
      <c r="Q34" s="6">
        <f>IF(Q$9=0,(Inputs!$C$19-Inputs!$C$22)*Inputs!$C$5,0)</f>
        <v/>
      </c>
    </row>
    <row r="35">
      <c r="B35" s="2" t="inlineStr">
        <is>
          <t>Incremental Operating Cash Flow</t>
        </is>
      </c>
    </row>
    <row r="36">
      <c r="C36" t="inlineStr">
        <is>
          <t>Maint.</t>
        </is>
      </c>
      <c r="D36" s="6">
        <f>IF(D$9=0,0,Inputs!$C$16*(1+Inputs!$C$8)^(D$9-1))</f>
        <v/>
      </c>
      <c r="E36" s="6">
        <f>IF(E$9=0,0,Inputs!$C$16*(1+Inputs!$C$8)^(E$9-1))</f>
        <v/>
      </c>
      <c r="F36" s="6">
        <f>IF(F$9=0,0,Inputs!$C$16*(1+Inputs!$C$8)^(F$9-1))</f>
        <v/>
      </c>
      <c r="G36" s="6">
        <f>IF(G$9=0,0,Inputs!$C$16*(1+Inputs!$C$8)^(G$9-1))</f>
        <v/>
      </c>
      <c r="H36" s="6">
        <f>IF(H$9=0,0,Inputs!$C$16*(1+Inputs!$C$8)^(H$9-1))</f>
        <v/>
      </c>
      <c r="I36" s="6">
        <f>IF(I$9=0,0,Inputs!$C$16*(1+Inputs!$C$8)^(I$9-1))</f>
        <v/>
      </c>
      <c r="J36" s="6">
        <f>IF(J$9=0,0,Inputs!$C$16*(1+Inputs!$C$8)^(J$9-1))</f>
        <v/>
      </c>
      <c r="K36" s="6">
        <f>IF(K$9=0,0,Inputs!$C$16*(1+Inputs!$C$8)^(K$9-1))</f>
        <v/>
      </c>
      <c r="L36" s="6">
        <f>IF(L$9=0,0,Inputs!$C$16*(1+Inputs!$C$8)^(L$9-1))</f>
        <v/>
      </c>
      <c r="M36" s="6">
        <f>IF(M$9=0,0,Inputs!$C$16*(1+Inputs!$C$8)^(M$9-1))</f>
        <v/>
      </c>
      <c r="N36" s="6">
        <f>IF(N$9=0,0,Inputs!$C$16*(1+Inputs!$C$8)^(N$9-1))</f>
        <v/>
      </c>
      <c r="O36" s="6">
        <f>IF(O$9=0,0,Inputs!$C$16*(1+Inputs!$C$8)^(O$9-1))</f>
        <v/>
      </c>
      <c r="P36" s="6">
        <f>IF(P$9=0,0,Inputs!$C$16*(1+Inputs!$C$8)^(P$9-1))</f>
        <v/>
      </c>
      <c r="Q36" s="6">
        <f>IF(Q$9=0,0,Inputs!$C$16*(1+Inputs!$C$8)^(Q$9-1))</f>
        <v/>
      </c>
    </row>
    <row r="37">
      <c r="C37" t="inlineStr">
        <is>
          <t xml:space="preserve">Labor </t>
        </is>
      </c>
      <c r="D37" s="6">
        <f>IF(D$9=0,0,Inputs!$C$25*(1+Inputs!$C$7)^(D$9-1))</f>
        <v/>
      </c>
      <c r="E37" s="6">
        <f>IF(E$9=0,0,Inputs!$C$25*(1+Inputs!$C$7)^(E$9-1))</f>
        <v/>
      </c>
      <c r="F37" s="6">
        <f>IF(F$9=0,0,Inputs!$C$25*(1+Inputs!$C$7)^(F$9-1))</f>
        <v/>
      </c>
      <c r="G37" s="6">
        <f>IF(G$9=0,0,Inputs!$C$25*(1+Inputs!$C$7)^(G$9-1))</f>
        <v/>
      </c>
      <c r="H37" s="6">
        <f>IF(H$9=0,0,Inputs!$C$25*(1+Inputs!$C$7)^(H$9-1))</f>
        <v/>
      </c>
      <c r="I37" s="6">
        <f>IF(I$9=0,0,Inputs!$C$25*(1+Inputs!$C$7)^(I$9-1))</f>
        <v/>
      </c>
      <c r="J37" s="6">
        <f>IF(J$9=0,0,Inputs!$C$25*(1+Inputs!$C$7)^(J$9-1))</f>
        <v/>
      </c>
      <c r="K37" s="6">
        <f>IF(K$9=0,0,Inputs!$C$25*(1+Inputs!$C$7)^(K$9-1))</f>
        <v/>
      </c>
      <c r="L37" s="6">
        <f>IF(L$9=0,0,Inputs!$C$25*(1+Inputs!$C$7)^(L$9-1))</f>
        <v/>
      </c>
      <c r="M37" s="6">
        <f>IF(M$9=0,0,Inputs!$C$25*(1+Inputs!$C$7)^(M$9-1))</f>
        <v/>
      </c>
      <c r="N37" s="6">
        <f>IF(N$9=0,0,Inputs!$C$25*(1+Inputs!$C$7)^(N$9-1))</f>
        <v/>
      </c>
      <c r="O37" s="6">
        <f>IF(O$9=0,0,Inputs!$C$25*(1+Inputs!$C$7)^(O$9-1))</f>
        <v/>
      </c>
      <c r="P37" s="6">
        <f>IF(P$9=0,0,Inputs!$C$25*(1+Inputs!$C$7)^(P$9-1))</f>
        <v/>
      </c>
      <c r="Q37" s="6">
        <f>IF(Q$9=0,0,Inputs!$C$25*(1+Inputs!$C$7)^(Q$9-1))</f>
        <v/>
      </c>
    </row>
    <row r="38">
      <c r="C38" t="inlineStr">
        <is>
          <t>Depreciation</t>
        </is>
      </c>
      <c r="D38" s="6">
        <f>IF(AND(D$9&gt;=1,D$9&lt;=Inputs!$C$12),Inputs!$C$13,0)</f>
        <v/>
      </c>
      <c r="E38" s="6">
        <f>IF(AND(E$9&gt;=1,E$9&lt;=Inputs!$C$12),Inputs!$C$13,0)</f>
        <v/>
      </c>
      <c r="F38" s="6">
        <f>IF(AND(F$9&gt;=1,F$9&lt;=Inputs!$C$12),Inputs!$C$13,0)</f>
        <v/>
      </c>
      <c r="G38" s="6">
        <f>IF(AND(G$9&gt;=1,G$9&lt;=Inputs!$C$12),Inputs!$C$13,0)</f>
        <v/>
      </c>
      <c r="H38" s="6">
        <f>IF(AND(H$9&gt;=1,H$9&lt;=Inputs!$C$12),Inputs!$C$13,0)</f>
        <v/>
      </c>
      <c r="I38" s="6">
        <f>IF(AND(I$9&gt;=1,I$9&lt;=Inputs!$C$12),Inputs!$C$13,0)</f>
        <v/>
      </c>
      <c r="J38" s="6">
        <f>IF(AND(J$9&gt;=1,J$9&lt;=Inputs!$C$12),Inputs!$C$13,0)</f>
        <v/>
      </c>
      <c r="K38" s="6">
        <f>IF(AND(K$9&gt;=1,K$9&lt;=Inputs!$C$12),Inputs!$C$13,0)</f>
        <v/>
      </c>
      <c r="L38" s="6">
        <f>IF(AND(L$9&gt;=1,L$9&lt;=Inputs!$C$12),Inputs!$C$13,0)</f>
        <v/>
      </c>
      <c r="M38" s="6">
        <f>IF(AND(M$9&gt;=1,M$9&lt;=Inputs!$C$12),Inputs!$C$13,0)</f>
        <v/>
      </c>
      <c r="N38" s="6">
        <f>IF(AND(N$9&gt;=1,N$9&lt;=Inputs!$C$12),Inputs!$C$13,0)</f>
        <v/>
      </c>
      <c r="O38" s="6">
        <f>IF(AND(O$9&gt;=1,O$9&lt;=Inputs!$C$12),Inputs!$C$13,0)</f>
        <v/>
      </c>
      <c r="P38" s="6">
        <f>IF(AND(P$9&gt;=1,P$9&lt;=Inputs!$C$12),Inputs!$C$13,0)</f>
        <v/>
      </c>
      <c r="Q38" s="6">
        <f>IF(AND(Q$9&gt;=1,Q$9&lt;=Inputs!$C$12),Inputs!$C$13,0)</f>
        <v/>
      </c>
    </row>
    <row r="39">
      <c r="C39" s="2" t="inlineStr">
        <is>
          <t>Total Cost</t>
        </is>
      </c>
      <c r="D39" s="7">
        <f>SUM(D36:D38)</f>
        <v/>
      </c>
      <c r="E39" s="7">
        <f>SUM(E36:E38)</f>
        <v/>
      </c>
      <c r="F39" s="7">
        <f>SUM(F36:F38)</f>
        <v/>
      </c>
      <c r="G39" s="7">
        <f>SUM(G36:G38)</f>
        <v/>
      </c>
      <c r="H39" s="7">
        <f>SUM(H36:H38)</f>
        <v/>
      </c>
      <c r="I39" s="7">
        <f>SUM(I36:I38)</f>
        <v/>
      </c>
      <c r="J39" s="7">
        <f>SUM(J36:J38)</f>
        <v/>
      </c>
      <c r="K39" s="7">
        <f>SUM(K36:K38)</f>
        <v/>
      </c>
      <c r="L39" s="7">
        <f>SUM(L36:L38)</f>
        <v/>
      </c>
      <c r="M39" s="7">
        <f>SUM(M36:M38)</f>
        <v/>
      </c>
      <c r="N39" s="7">
        <f>SUM(N36:N38)</f>
        <v/>
      </c>
      <c r="O39" s="7">
        <f>SUM(O36:O38)</f>
        <v/>
      </c>
      <c r="P39" s="7">
        <f>SUM(P36:P38)</f>
        <v/>
      </c>
      <c r="Q39" s="7">
        <f>SUM(Q36:Q38)</f>
        <v/>
      </c>
    </row>
    <row r="40">
      <c r="C40" t="inlineStr">
        <is>
          <t>Tax</t>
        </is>
      </c>
      <c r="D40" s="6">
        <f>D39*Inputs!$C$5</f>
        <v/>
      </c>
      <c r="E40" s="6">
        <f>E39*Inputs!$C$5</f>
        <v/>
      </c>
      <c r="F40" s="6">
        <f>F39*Inputs!$C$5</f>
        <v/>
      </c>
      <c r="G40" s="6">
        <f>G39*Inputs!$C$5</f>
        <v/>
      </c>
      <c r="H40" s="6">
        <f>H39*Inputs!$C$5</f>
        <v/>
      </c>
      <c r="I40" s="6">
        <f>I39*Inputs!$C$5</f>
        <v/>
      </c>
      <c r="J40" s="6">
        <f>J39*Inputs!$C$5</f>
        <v/>
      </c>
      <c r="K40" s="6">
        <f>K39*Inputs!$C$5</f>
        <v/>
      </c>
      <c r="L40" s="6">
        <f>L39*Inputs!$C$5</f>
        <v/>
      </c>
      <c r="M40" s="6">
        <f>M39*Inputs!$C$5</f>
        <v/>
      </c>
      <c r="N40" s="6">
        <f>N39*Inputs!$C$5</f>
        <v/>
      </c>
      <c r="O40" s="6">
        <f>O39*Inputs!$C$5</f>
        <v/>
      </c>
      <c r="P40" s="6">
        <f>P39*Inputs!$C$5</f>
        <v/>
      </c>
      <c r="Q40" s="6">
        <f>Q39*Inputs!$C$5</f>
        <v/>
      </c>
    </row>
    <row r="41">
      <c r="C41" t="inlineStr">
        <is>
          <t>After-tax Cost</t>
        </is>
      </c>
      <c r="D41" s="6">
        <f>D39-D40</f>
        <v/>
      </c>
      <c r="E41" s="6">
        <f>E39-E40</f>
        <v/>
      </c>
      <c r="F41" s="6">
        <f>F39-F40</f>
        <v/>
      </c>
      <c r="G41" s="6">
        <f>G39-G40</f>
        <v/>
      </c>
      <c r="H41" s="6">
        <f>H39-H40</f>
        <v/>
      </c>
      <c r="I41" s="6">
        <f>I39-I40</f>
        <v/>
      </c>
      <c r="J41" s="6">
        <f>J39-J40</f>
        <v/>
      </c>
      <c r="K41" s="6">
        <f>K39-K40</f>
        <v/>
      </c>
      <c r="L41" s="6">
        <f>L39-L40</f>
        <v/>
      </c>
      <c r="M41" s="6">
        <f>M39-M40</f>
        <v/>
      </c>
      <c r="N41" s="6">
        <f>N39-N40</f>
        <v/>
      </c>
      <c r="O41" s="6">
        <f>O39-O40</f>
        <v/>
      </c>
      <c r="P41" s="6">
        <f>P39-P40</f>
        <v/>
      </c>
      <c r="Q41" s="6">
        <f>Q39-Q40</f>
        <v/>
      </c>
    </row>
    <row r="42">
      <c r="C42" t="inlineStr">
        <is>
          <t>+ Depreciation</t>
        </is>
      </c>
      <c r="D42" s="6">
        <f>D38</f>
        <v/>
      </c>
      <c r="E42" s="6">
        <f>E38</f>
        <v/>
      </c>
      <c r="F42" s="6">
        <f>F38</f>
        <v/>
      </c>
      <c r="G42" s="6">
        <f>G38</f>
        <v/>
      </c>
      <c r="H42" s="6">
        <f>H38</f>
        <v/>
      </c>
      <c r="I42" s="6">
        <f>I38</f>
        <v/>
      </c>
      <c r="J42" s="6">
        <f>J38</f>
        <v/>
      </c>
      <c r="K42" s="6">
        <f>K38</f>
        <v/>
      </c>
      <c r="L42" s="6">
        <f>L38</f>
        <v/>
      </c>
      <c r="M42" s="6">
        <f>M38</f>
        <v/>
      </c>
      <c r="N42" s="6">
        <f>N38</f>
        <v/>
      </c>
      <c r="O42" s="6">
        <f>O38</f>
        <v/>
      </c>
      <c r="P42" s="6">
        <f>P38</f>
        <v/>
      </c>
      <c r="Q42" s="6">
        <f>Q38</f>
        <v/>
      </c>
    </row>
    <row r="43">
      <c r="C43" t="inlineStr">
        <is>
          <t>- Cap. Expend.</t>
        </is>
      </c>
      <c r="D43" s="6">
        <f>D33</f>
        <v/>
      </c>
      <c r="E43" s="6">
        <f>E33</f>
        <v/>
      </c>
      <c r="F43" s="6">
        <f>F33</f>
        <v/>
      </c>
      <c r="G43" s="6">
        <f>G33</f>
        <v/>
      </c>
      <c r="H43" s="6">
        <f>H33</f>
        <v/>
      </c>
      <c r="I43" s="6">
        <f>I33</f>
        <v/>
      </c>
      <c r="J43" s="6">
        <f>J33</f>
        <v/>
      </c>
      <c r="K43" s="6">
        <f>K33</f>
        <v/>
      </c>
      <c r="L43" s="6">
        <f>L33</f>
        <v/>
      </c>
      <c r="M43" s="6">
        <f>M33</f>
        <v/>
      </c>
      <c r="N43" s="6">
        <f>N33</f>
        <v/>
      </c>
      <c r="O43" s="6">
        <f>O33</f>
        <v/>
      </c>
      <c r="P43" s="6">
        <f>P33</f>
        <v/>
      </c>
      <c r="Q43" s="6">
        <f>Q33</f>
        <v/>
      </c>
    </row>
    <row r="44">
      <c r="C44" t="inlineStr">
        <is>
          <t>+ Tax Shield on Writeoff of Old Machine</t>
        </is>
      </c>
      <c r="D44" s="6">
        <f>D34</f>
        <v/>
      </c>
      <c r="E44" s="6">
        <f>E34</f>
        <v/>
      </c>
      <c r="F44" s="6">
        <f>F34</f>
        <v/>
      </c>
      <c r="G44" s="6">
        <f>G34</f>
        <v/>
      </c>
      <c r="H44" s="6">
        <f>H34</f>
        <v/>
      </c>
      <c r="I44" s="6">
        <f>I34</f>
        <v/>
      </c>
      <c r="J44" s="6">
        <f>J34</f>
        <v/>
      </c>
      <c r="K44" s="6">
        <f>K34</f>
        <v/>
      </c>
      <c r="L44" s="6">
        <f>L34</f>
        <v/>
      </c>
      <c r="M44" s="6">
        <f>M34</f>
        <v/>
      </c>
      <c r="N44" s="6">
        <f>N34</f>
        <v/>
      </c>
      <c r="O44" s="6">
        <f>O34</f>
        <v/>
      </c>
      <c r="P44" s="6">
        <f>P34</f>
        <v/>
      </c>
      <c r="Q44" s="6">
        <f>Q34</f>
        <v/>
      </c>
    </row>
    <row r="45">
      <c r="C45" s="2" t="inlineStr">
        <is>
          <t>Free Cash Flow</t>
        </is>
      </c>
      <c r="D45" s="7">
        <f>-D41+D42+D43+D44</f>
        <v/>
      </c>
      <c r="E45" s="7">
        <f>-E41+E42+E43+E44</f>
        <v/>
      </c>
      <c r="F45" s="7">
        <f>-F41+F42+F43+F44</f>
        <v/>
      </c>
      <c r="G45" s="7">
        <f>-G41+G42+G43+G44</f>
        <v/>
      </c>
      <c r="H45" s="7">
        <f>-H41+H42+H43+H44</f>
        <v/>
      </c>
      <c r="I45" s="7">
        <f>-I41+I42+I43+I44</f>
        <v/>
      </c>
      <c r="J45" s="7">
        <f>-J41+J42+J43+J44</f>
        <v/>
      </c>
      <c r="K45" s="7">
        <f>-K41+K42+K43+K44</f>
        <v/>
      </c>
      <c r="L45" s="7">
        <f>-L41+L42+L43+L44</f>
        <v/>
      </c>
      <c r="M45" s="7">
        <f>-M41+M42+M43+M44</f>
        <v/>
      </c>
      <c r="N45" s="7">
        <f>-N41+N42+N43+N44</f>
        <v/>
      </c>
      <c r="O45" s="7">
        <f>-O41+O42+O43+O44</f>
        <v/>
      </c>
      <c r="P45" s="7">
        <f>-P41+P42+P43+P44</f>
        <v/>
      </c>
      <c r="Q45" s="7">
        <f>-Q41+Q42+Q43+Q44</f>
        <v/>
      </c>
    </row>
    <row r="47">
      <c r="C47" s="2" t="inlineStr">
        <is>
          <t xml:space="preserve">NPV@11.0% = </t>
        </is>
      </c>
      <c r="D47" s="8">
        <f>NPV(Inputs!$C$6,E45:Q45)+D45</f>
        <v/>
      </c>
    </row>
    <row r="49">
      <c r="B49" s="2" t="inlineStr">
        <is>
          <t>Effect of Buying Now vs. Waiting</t>
        </is>
      </c>
    </row>
    <row r="50">
      <c r="C50" s="2" t="inlineStr">
        <is>
          <t>Advantage of Waiting:     NPV (Wait) - NPV (Now) =</t>
        </is>
      </c>
      <c r="D50" s="8">
        <f>D29-D47</f>
        <v/>
      </c>
      <c r="S50" s="4" t="inlineStr">
        <is>
          <t>Positive = waiting is worth more (costs less in PV terms) than buying now.</t>
        </is>
      </c>
    </row>
    <row r="52">
      <c r="C52" t="inlineStr">
        <is>
          <t>Change in FCF</t>
        </is>
      </c>
      <c r="D52" s="7">
        <f>D27-D45</f>
        <v/>
      </c>
      <c r="E52" s="7">
        <f>E27-E45</f>
        <v/>
      </c>
      <c r="F52" s="7">
        <f>F27-F45</f>
        <v/>
      </c>
      <c r="G52" s="7">
        <f>G27-G45</f>
        <v/>
      </c>
      <c r="H52" s="7">
        <f>H27-H45</f>
        <v/>
      </c>
      <c r="I52" s="7">
        <f>I27-I45</f>
        <v/>
      </c>
      <c r="J52" s="7">
        <f>J27-J45</f>
        <v/>
      </c>
      <c r="K52" s="7">
        <f>K27-K45</f>
        <v/>
      </c>
      <c r="L52" s="7">
        <f>L27-L45</f>
        <v/>
      </c>
      <c r="M52" s="7">
        <f>M27-M45</f>
        <v/>
      </c>
      <c r="N52" s="7">
        <f>N27-N45</f>
        <v/>
      </c>
      <c r="O52" s="7">
        <f>O27-O45</f>
        <v/>
      </c>
      <c r="P52" s="7">
        <f>P27-P45</f>
        <v/>
      </c>
      <c r="Q52" s="7">
        <f>Q27-Q45</f>
        <v/>
      </c>
    </row>
    <row r="53">
      <c r="C53" s="2" t="inlineStr">
        <is>
          <t>PV Gain from Waiting</t>
        </is>
      </c>
      <c r="D53" s="8">
        <f>NPV(Inputs!$C$6,E52:Q52)+D52</f>
        <v/>
      </c>
    </row>
    <row r="55">
      <c r="C55" s="2" t="inlineStr">
        <is>
          <t>Equiv. Annual Annuity</t>
        </is>
      </c>
      <c r="D55" s="8">
        <f>PMT(Inputs!$C$6,Q9,-D53)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4" customWidth="1" min="4" max="4"/>
    <col width="105" customWidth="1" min="5" max="5"/>
  </cols>
  <sheetData>
    <row r="1">
      <c r="B1" s="9" t="inlineStr">
        <is>
          <t>STAR RIVER ELECTRONICS LTD. — MODEL INPUTS</t>
        </is>
      </c>
    </row>
    <row r="2">
      <c r="B2" s="10" t="inlineStr">
        <is>
          <t>Every figure is traced to a case exhibit. The Project Analysis sheet contains no typed numbers — only formulas referring to this sheet.</t>
        </is>
      </c>
    </row>
    <row r="4">
      <c r="B4" s="11" t="inlineStr">
        <is>
          <t>Input</t>
        </is>
      </c>
      <c r="C4" s="11" t="inlineStr">
        <is>
          <t>Value</t>
        </is>
      </c>
      <c r="D4" s="11" t="inlineStr">
        <is>
          <t>Unit</t>
        </is>
      </c>
      <c r="E4" s="11" t="inlineStr">
        <is>
          <t>Source</t>
        </is>
      </c>
    </row>
    <row r="5">
      <c r="B5" t="inlineStr">
        <is>
          <t>Marginal tax rate</t>
        </is>
      </c>
      <c r="C5" s="5" t="n">
        <v>0.245</v>
      </c>
      <c r="E5" s="4" t="inlineStr">
        <is>
          <t>Exhibit 4, final ¶: 'The marginal tax rate for this investment would be 24.5 percent.' Cf. Exhibit 1 footnote.</t>
        </is>
      </c>
    </row>
    <row r="6">
      <c r="B6" t="inlineStr">
        <is>
          <t>WACC / discount rate</t>
        </is>
      </c>
      <c r="C6" s="5" t="n">
        <v>0.11</v>
      </c>
      <c r="E6" s="4" t="inlineStr">
        <is>
          <t>GIVEN in assignment prompt (not an exhibit figure). Exhibit 5 provides the comparables to derive it.</t>
        </is>
      </c>
    </row>
    <row r="7">
      <c r="B7" t="inlineStr">
        <is>
          <t>Inflation — labor &amp; maintenance</t>
        </is>
      </c>
      <c r="C7" s="5" t="n">
        <v>0.015</v>
      </c>
      <c r="E7" s="4" t="inlineStr">
        <is>
          <t>Exhibit 4: 'labor and maintenance costs will continue to rise due to inflation at approximately 1.5 percent per year'.</t>
        </is>
      </c>
    </row>
    <row r="8">
      <c r="B8" t="inlineStr">
        <is>
          <t>Equipment price escalation</t>
        </is>
      </c>
      <c r="C8" s="5" t="n">
        <v>0.05</v>
      </c>
      <c r="E8" s="4" t="inlineStr">
        <is>
          <t>Exhibit 4: 'manufacturer ... increasing its prices at about 5 percent per year'.</t>
        </is>
      </c>
    </row>
    <row r="10">
      <c r="B10" s="2" t="inlineStr">
        <is>
          <t>NEW PACKAGING MACHINE</t>
        </is>
      </c>
    </row>
    <row r="11">
      <c r="B11" t="inlineStr">
        <is>
          <t>Purchase price today</t>
        </is>
      </c>
      <c r="C11" s="6" t="n">
        <v>1820000</v>
      </c>
      <c r="E11" s="4" t="inlineStr">
        <is>
          <t>Exhibit 4: 'The new equipment currently costs SGD1.82 million'.</t>
        </is>
      </c>
    </row>
    <row r="12">
      <c r="B12" t="inlineStr">
        <is>
          <t>Depreciable life (years)</t>
        </is>
      </c>
      <c r="C12" s="12" t="n">
        <v>10</v>
      </c>
      <c r="E12" s="4" t="inlineStr">
        <is>
          <t>Exhibit 4: 'which we would depreciate over 10 years'.</t>
        </is>
      </c>
    </row>
    <row r="13">
      <c r="B13" s="10" t="inlineStr">
        <is>
          <t>Annual depreciation if bought now</t>
        </is>
      </c>
      <c r="C13" s="6">
        <f>C11/C12</f>
        <v/>
      </c>
      <c r="E13" s="4" t="inlineStr">
        <is>
          <t>DERIVED = price / life. Exhibit 4 states SGD182,000 — see check below.</t>
        </is>
      </c>
    </row>
    <row r="14">
      <c r="B14" s="10" t="inlineStr">
        <is>
          <t>Purchase price if deferred 3 years</t>
        </is>
      </c>
      <c r="C14" s="6">
        <f>C11*(1+C8)^C23</f>
        <v/>
      </c>
      <c r="E14" s="4" t="inlineStr">
        <is>
          <t>DERIVED = today's price x (1 + escalation)^3.</t>
        </is>
      </c>
    </row>
    <row r="15">
      <c r="B15" s="10" t="inlineStr">
        <is>
          <t>Annual depreciation if deferred</t>
        </is>
      </c>
      <c r="C15" s="6">
        <f>C14/C12</f>
        <v/>
      </c>
      <c r="E15" s="4" t="inlineStr">
        <is>
          <t>DERIVED = deferred price / life.</t>
        </is>
      </c>
    </row>
    <row r="16">
      <c r="B16" t="inlineStr">
        <is>
          <t>Maintenance contract — first year</t>
        </is>
      </c>
      <c r="C16" s="6" t="n">
        <v>3640</v>
      </c>
      <c r="E16" s="4" t="inlineStr">
        <is>
          <t>Exhibit 4: 'covers all routine maintenance and repairs at a price of SGD3,640 for the initial year'.</t>
        </is>
      </c>
    </row>
    <row r="18">
      <c r="B18" s="2" t="inlineStr">
        <is>
          <t>EXISTING (OLD) MACHINE</t>
        </is>
      </c>
    </row>
    <row r="19">
      <c r="B19" t="inlineStr">
        <is>
          <t>Book value</t>
        </is>
      </c>
      <c r="C19" s="6" t="n">
        <v>218400</v>
      </c>
      <c r="E19" s="4" t="inlineStr">
        <is>
          <t>Exhibit 4: 'on the tax and reporting books at SGD218,400'.</t>
        </is>
      </c>
    </row>
    <row r="20">
      <c r="B20" t="inlineStr">
        <is>
          <t>Remaining depreciable life (years)</t>
        </is>
      </c>
      <c r="C20" s="12" t="n">
        <v>3</v>
      </c>
      <c r="E20" s="4" t="inlineStr">
        <is>
          <t>Exhibit 4: 'will be fully depreciated in three years time'.</t>
        </is>
      </c>
    </row>
    <row r="21">
      <c r="B21" s="10" t="inlineStr">
        <is>
          <t>Annual depreciation</t>
        </is>
      </c>
      <c r="C21" s="6">
        <f>C19/C20</f>
        <v/>
      </c>
      <c r="E21" s="4" t="inlineStr">
        <is>
          <t>DERIVED = book value / remaining life (straight-line, per Exhibit 4).</t>
        </is>
      </c>
    </row>
    <row r="22">
      <c r="B22" t="inlineStr">
        <is>
          <t>Salvage value</t>
        </is>
      </c>
      <c r="C22" s="6" t="n">
        <v>0</v>
      </c>
      <c r="E22" s="4" t="inlineStr">
        <is>
          <t>Exhibit 4: 'we believe the equipment has no salvage value at all'.</t>
        </is>
      </c>
    </row>
    <row r="23">
      <c r="B23" t="inlineStr">
        <is>
          <t>Years until forced replacement</t>
        </is>
      </c>
      <c r="C23" s="12" t="n">
        <v>3</v>
      </c>
      <c r="E23" s="4" t="inlineStr">
        <is>
          <t>Exhibit 4: 'current equipment will not be able to handle our packaging needs by the end of 2004' — i.e. replacement is unavoidable at year 3.</t>
        </is>
      </c>
    </row>
    <row r="24">
      <c r="B24" t="inlineStr">
        <is>
          <t>Maintenance cost, 2002</t>
        </is>
      </c>
      <c r="C24" s="6" t="n">
        <v>15470</v>
      </c>
      <c r="E24" s="4" t="inlineStr">
        <is>
          <t>Exhibit 4: 'In 2002 we will pay about SGD15,470 per year for maintenance costs.'</t>
        </is>
      </c>
    </row>
    <row r="25">
      <c r="B25" t="inlineStr">
        <is>
          <t>Operator wage — regular time</t>
        </is>
      </c>
      <c r="C25" s="6" t="n">
        <v>63700</v>
      </c>
      <c r="E25" s="4" t="inlineStr">
        <is>
          <t>Exhibit 4: 'The operator is paid SGD63,700 per year for his regular time'.</t>
        </is>
      </c>
    </row>
    <row r="26">
      <c r="B26" t="inlineStr">
        <is>
          <t>Operator wage — actual, incl. overtime</t>
        </is>
      </c>
      <c r="C26" s="6" t="n">
        <v>81900</v>
      </c>
      <c r="E26" s="4" t="inlineStr">
        <is>
          <t>Exhibit 4: 'he has been averaging SGD81,900 per year because of the overtime he has been working'.</t>
        </is>
      </c>
    </row>
    <row r="27">
      <c r="B27" s="10" t="inlineStr">
        <is>
          <t>Overtime premium (eliminated by new machine)</t>
        </is>
      </c>
      <c r="C27" s="6">
        <f>C26-C25</f>
        <v/>
      </c>
      <c r="E27" s="4" t="inlineStr">
        <is>
          <t>DERIVED = actual wage less regular wage. Exhibit 4: new machine 'will eliminate the need for overtime labor'.</t>
        </is>
      </c>
    </row>
    <row r="29">
      <c r="B29" s="2" t="inlineStr">
        <is>
          <t>CHECKS — model-derived values vs. figures stated in the case</t>
        </is>
      </c>
    </row>
    <row r="30">
      <c r="B30" s="11" t="inlineStr">
        <is>
          <t>Check</t>
        </is>
      </c>
      <c r="C30" s="11" t="inlineStr">
        <is>
          <t>Model</t>
        </is>
      </c>
      <c r="D30" s="11" t="inlineStr">
        <is>
          <t>Case states</t>
        </is>
      </c>
      <c r="E30" s="11" t="inlineStr">
        <is>
          <t>Result</t>
        </is>
      </c>
    </row>
    <row r="31">
      <c r="B31" t="inlineStr">
        <is>
          <t>Annual depreciation, new machine</t>
        </is>
      </c>
      <c r="C31" s="6">
        <f>C13</f>
        <v/>
      </c>
      <c r="D31" s="6" t="n">
        <v>182000</v>
      </c>
      <c r="E31" s="2">
        <f>IF(ROUND(C31,0)=ROUND(D31,0),"OK — matches Exhibit 4","MISMATCH")</f>
        <v/>
      </c>
    </row>
    <row r="32">
      <c r="B32" t="inlineStr">
        <is>
          <t>Saving in purchase price by buying now</t>
        </is>
      </c>
      <c r="C32" s="6">
        <f>C14-C11</f>
        <v/>
      </c>
      <c r="D32" s="6" t="n">
        <v>286878</v>
      </c>
      <c r="E32" s="2">
        <f>IF(ROUND(C32,0)=ROUND(D32,0),"OK — matches Exhibit 4","MISMATCH")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2026-09-19T17:25:03Z</dcterms:created>
  <dcterms:modified xsi:type="dcterms:W3CDTF">2026-09-19T17:25:03Z</dcterms:modified>
</cp:coreProperties>
</file>